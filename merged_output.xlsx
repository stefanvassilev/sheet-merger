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asilev\sheet-merger\"/>
    </mc:Choice>
  </mc:AlternateContent>
  <xr:revisionPtr revIDLastSave="0" documentId="8_{48BEE8A9-B6E8-4D11-9561-F31E6447DE89}" xr6:coauthVersionLast="47" xr6:coauthVersionMax="47" xr10:uidLastSave="{00000000-0000-0000-0000-000000000000}"/>
  <bookViews>
    <workbookView xWindow="-103" yWindow="-103" windowWidth="22149" windowHeight="13920" activeTab="4" xr2:uid="{9E8766A5-378E-485D-8253-13D5ADC7B3CA}"/>
  </bookViews>
  <sheets>
    <sheet name="first_Inventory" sheetId="2" r:id="rId1"/>
    <sheet name="first_Pricing" sheetId="3" r:id="rId2"/>
    <sheet name="second_Overview" sheetId="4" r:id="rId3"/>
    <sheet name="second_North Region" sheetId="5" r:id="rId4"/>
    <sheet name="second_South Reg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C8" i="4"/>
  <c r="B8" i="4"/>
  <c r="E7" i="4"/>
  <c r="E6" i="4"/>
  <c r="E5" i="4"/>
  <c r="E4" i="4"/>
  <c r="E8" i="4" s="1"/>
  <c r="E11" i="3"/>
  <c r="E10" i="3"/>
  <c r="E9" i="3"/>
  <c r="E8" i="3"/>
  <c r="E7" i="3"/>
  <c r="E6" i="3"/>
  <c r="E5" i="3"/>
  <c r="E4" i="3"/>
</calcChain>
</file>

<file path=xl/sharedStrings.xml><?xml version="1.0" encoding="utf-8"?>
<sst xmlns="http://schemas.openxmlformats.org/spreadsheetml/2006/main" count="102" uniqueCount="58">
  <si>
    <t>Product Inventory</t>
  </si>
  <si>
    <t>SKU</t>
  </si>
  <si>
    <t>Product Name</t>
  </si>
  <si>
    <t>Category</t>
  </si>
  <si>
    <t>In Stock</t>
  </si>
  <si>
    <t>Reorder Point</t>
  </si>
  <si>
    <t>Status</t>
  </si>
  <si>
    <t>SKU-001</t>
  </si>
  <si>
    <t>Wireless Mouse</t>
  </si>
  <si>
    <t>Electronics</t>
  </si>
  <si>
    <t>OK</t>
  </si>
  <si>
    <t>SKU-002</t>
  </si>
  <si>
    <t>USB-C Hub</t>
  </si>
  <si>
    <t>LOW</t>
  </si>
  <si>
    <t>SKU-003</t>
  </si>
  <si>
    <t>Standing Desk Mat</t>
  </si>
  <si>
    <t>Furniture</t>
  </si>
  <si>
    <t>SKU-004</t>
  </si>
  <si>
    <t>Monitor Arm</t>
  </si>
  <si>
    <t>SKU-005</t>
  </si>
  <si>
    <t>Noise Cancel. Headp</t>
  </si>
  <si>
    <t>SKU-006</t>
  </si>
  <si>
    <t>Webcam HD</t>
  </si>
  <si>
    <t>SKU-007</t>
  </si>
  <si>
    <t>Ergonomic Chair</t>
  </si>
  <si>
    <t>SKU-008</t>
  </si>
  <si>
    <t>Laptop Stand</t>
  </si>
  <si>
    <t>Accessories</t>
  </si>
  <si>
    <t>Product Pricing</t>
  </si>
  <si>
    <t>Cost</t>
  </si>
  <si>
    <t>Retail Price</t>
  </si>
  <si>
    <t>Margin %</t>
  </si>
  <si>
    <t>Q1 Sales Overview</t>
  </si>
  <si>
    <t>Region</t>
  </si>
  <si>
    <t>Jan</t>
  </si>
  <si>
    <t>Feb</t>
  </si>
  <si>
    <t>Mar</t>
  </si>
  <si>
    <t>Total</t>
  </si>
  <si>
    <t>North</t>
  </si>
  <si>
    <t>South</t>
  </si>
  <si>
    <t>East</t>
  </si>
  <si>
    <t>West</t>
  </si>
  <si>
    <t>TOTAL</t>
  </si>
  <si>
    <t>North Region — Monthly Detail</t>
  </si>
  <si>
    <t>Sales Rep</t>
  </si>
  <si>
    <t>Product</t>
  </si>
  <si>
    <t>Units</t>
  </si>
  <si>
    <t>Revenue</t>
  </si>
  <si>
    <t>Alice Johnson</t>
  </si>
  <si>
    <t>Widget Pro</t>
  </si>
  <si>
    <t>Gadget Plus</t>
  </si>
  <si>
    <t>Bob Martinez</t>
  </si>
  <si>
    <t>Super Tool</t>
  </si>
  <si>
    <t>Carol White</t>
  </si>
  <si>
    <t>South Region — Monthly Detail</t>
  </si>
  <si>
    <t>David Lee</t>
  </si>
  <si>
    <t>Emma Davis</t>
  </si>
  <si>
    <t>Frank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</si>
</sst>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&quot;%&quot;"/>
    <numFmt numFmtId="166" formatCode="\$#,##0"/>
  </numFmts>
  <fonts count="6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DE9F5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8A00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/>
    <xf numFmtId="0" fontId="1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1" fillId="6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0" fillId="3" borderId="1" xfId="0" applyNumberFormat="1" applyFill="1" applyBorder="1"/>
    <xf numFmtId="3" fontId="0" fillId="0" borderId="1" xfId="0" applyNumberFormat="1" applyBorder="1"/>
    <xf numFmtId="0" fontId="4" fillId="7" borderId="1" xfId="0" applyFont="1" applyFill="1" applyBorder="1"/>
    <xf numFmtId="3" fontId="4" fillId="7" borderId="1" xfId="0" applyNumberFormat="1" applyFont="1" applyFill="1" applyBorder="1"/>
    <xf numFmtId="0" fontId="5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/>
    <xf numFmtId="166" fontId="0" fillId="9" borderId="1" xfId="0" applyNumberFormat="1" applyFill="1" applyBorder="1"/>
    <xf numFmtId="166" fontId="0" fillId="0" borderId="1" xfId="0" applyNumberFormat="1" applyBorder="1"/>
    <xf numFmtId="0" fontId="5" fillId="6" borderId="0" xfId="0" applyFont="1" applyFill="1" applyAlignment="1">
      <alignment horizontal="center"/>
    </xf>
    <xf numFmtId="16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0D18-8608-4C52-8F5F-D34E9A2676B3}">
  <sheetPr>
    <tabColor rgb="FF0070C0"/>
  </sheetPr>
  <dimension ref="A1:F11"/>
  <sheetViews>
    <sheetView workbookViewId="0">
      <selection sqref="A1:F1"/>
    </sheetView>
  </sheetViews>
  <sheetFormatPr defaultRowHeight="14.6" x14ac:dyDescent="0.4"/>
  <cols>
    <col min="1" max="1" width="10.61328125" customWidth="1"/>
    <col min="2" max="2" width="22.61328125" customWidth="1"/>
    <col min="3" max="3" width="14.61328125" customWidth="1"/>
    <col min="4" max="4" width="10.61328125" customWidth="1"/>
    <col min="5" max="5" width="14.61328125" customWidth="1"/>
    <col min="6" max="6" width="8.61328125" customWidth="1"/>
  </cols>
  <sheetData>
    <row r="1" spans="1:6" ht="26.05" customHeight="1" x14ac:dyDescent="0.5">
      <c r="A1" s="1" t="s">
        <v>0</v>
      </c>
      <c r="B1" s="2"/>
      <c r="C1" s="2"/>
      <c r="D1" s="2"/>
      <c r="E1" s="2"/>
      <c r="F1" s="2"/>
    </row>
    <row r="3" spans="1:6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4">
      <c r="A4" s="4" t="s">
        <v>7</v>
      </c>
      <c r="B4" s="4" t="s">
        <v>8</v>
      </c>
      <c r="C4" s="4" t="s">
        <v>9</v>
      </c>
      <c r="D4" s="4">
        <v>245</v>
      </c>
      <c r="E4" s="4">
        <v>50</v>
      </c>
      <c r="F4" s="4" t="s">
        <v>10</v>
      </c>
    </row>
    <row r="5" spans="1:6" x14ac:dyDescent="0.4">
      <c r="A5" s="5" t="s">
        <v>11</v>
      </c>
      <c r="B5" s="5" t="s">
        <v>12</v>
      </c>
      <c r="C5" s="5" t="s">
        <v>9</v>
      </c>
      <c r="D5" s="5">
        <v>38</v>
      </c>
      <c r="E5" s="5">
        <v>40</v>
      </c>
      <c r="F5" s="6" t="s">
        <v>13</v>
      </c>
    </row>
    <row r="6" spans="1:6" x14ac:dyDescent="0.4">
      <c r="A6" s="4" t="s">
        <v>14</v>
      </c>
      <c r="B6" s="4" t="s">
        <v>15</v>
      </c>
      <c r="C6" s="4" t="s">
        <v>16</v>
      </c>
      <c r="D6" s="4">
        <v>112</v>
      </c>
      <c r="E6" s="4">
        <v>20</v>
      </c>
      <c r="F6" s="4" t="s">
        <v>10</v>
      </c>
    </row>
    <row r="7" spans="1:6" x14ac:dyDescent="0.4">
      <c r="A7" s="5" t="s">
        <v>17</v>
      </c>
      <c r="B7" s="5" t="s">
        <v>18</v>
      </c>
      <c r="C7" s="5" t="s">
        <v>16</v>
      </c>
      <c r="D7" s="5">
        <v>67</v>
      </c>
      <c r="E7" s="5">
        <v>15</v>
      </c>
      <c r="F7" s="5" t="s">
        <v>10</v>
      </c>
    </row>
    <row r="8" spans="1:6" x14ac:dyDescent="0.4">
      <c r="A8" s="4" t="s">
        <v>19</v>
      </c>
      <c r="B8" s="4" t="s">
        <v>20</v>
      </c>
      <c r="C8" s="4" t="s">
        <v>9</v>
      </c>
      <c r="D8" s="4">
        <v>12</v>
      </c>
      <c r="E8" s="4">
        <v>30</v>
      </c>
      <c r="F8" s="7" t="s">
        <v>13</v>
      </c>
    </row>
    <row r="9" spans="1:6" x14ac:dyDescent="0.4">
      <c r="A9" s="5" t="s">
        <v>21</v>
      </c>
      <c r="B9" s="5" t="s">
        <v>22</v>
      </c>
      <c r="C9" s="5" t="s">
        <v>9</v>
      </c>
      <c r="D9" s="5">
        <v>89</v>
      </c>
      <c r="E9" s="5">
        <v>25</v>
      </c>
      <c r="F9" s="5" t="s">
        <v>10</v>
      </c>
    </row>
    <row r="10" spans="1:6" x14ac:dyDescent="0.4">
      <c r="A10" s="4" t="s">
        <v>23</v>
      </c>
      <c r="B10" s="4" t="s">
        <v>24</v>
      </c>
      <c r="C10" s="4" t="s">
        <v>16</v>
      </c>
      <c r="D10" s="4">
        <v>23</v>
      </c>
      <c r="E10" s="4">
        <v>10</v>
      </c>
      <c r="F10" s="4" t="s">
        <v>10</v>
      </c>
    </row>
    <row r="11" spans="1:6" x14ac:dyDescent="0.4">
      <c r="A11" s="5" t="s">
        <v>25</v>
      </c>
      <c r="B11" s="5" t="s">
        <v>26</v>
      </c>
      <c r="C11" s="5" t="s">
        <v>27</v>
      </c>
      <c r="D11" s="5">
        <v>156</v>
      </c>
      <c r="E11" s="5">
        <v>35</v>
      </c>
      <c r="F11" s="5" t="s">
        <v>10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E79D-FDB6-4490-8EDC-464F1E1CF827}">
  <sheetPr>
    <tabColor rgb="FF7030A0"/>
  </sheetPr>
  <dimension ref="A1:E11"/>
  <sheetViews>
    <sheetView workbookViewId="0">
      <selection sqref="A1:E1"/>
    </sheetView>
  </sheetViews>
  <sheetFormatPr defaultRowHeight="14.6" x14ac:dyDescent="0.4"/>
  <cols>
    <col min="1" max="1" width="10.61328125" customWidth="1"/>
    <col min="2" max="2" width="22.61328125" customWidth="1"/>
    <col min="3" max="3" width="12.61328125" customWidth="1"/>
    <col min="4" max="4" width="14.61328125" customWidth="1"/>
    <col min="5" max="5" width="10.61328125" customWidth="1"/>
  </cols>
  <sheetData>
    <row r="1" spans="1:5" ht="26.05" customHeight="1" x14ac:dyDescent="0.5">
      <c r="A1" s="8" t="s">
        <v>28</v>
      </c>
      <c r="B1" s="2"/>
      <c r="C1" s="2"/>
      <c r="D1" s="2"/>
      <c r="E1" s="2"/>
    </row>
    <row r="3" spans="1:5" x14ac:dyDescent="0.4">
      <c r="A3" s="9" t="s">
        <v>1</v>
      </c>
      <c r="B3" s="9" t="s">
        <v>2</v>
      </c>
      <c r="C3" s="9" t="s">
        <v>29</v>
      </c>
      <c r="D3" s="9" t="s">
        <v>30</v>
      </c>
      <c r="E3" s="9" t="s">
        <v>31</v>
      </c>
    </row>
    <row r="4" spans="1:5" x14ac:dyDescent="0.4">
      <c r="A4" s="10" t="s">
        <v>7</v>
      </c>
      <c r="B4" s="10" t="s">
        <v>8</v>
      </c>
      <c r="C4" s="11">
        <v>18.5</v>
      </c>
      <c r="D4" s="11">
        <v>39.99</v>
      </c>
      <c r="E4" s="12">
        <f t="shared" ref="E4:E11" si="0">ROUND((D4-C4)/D4*100,1)</f>
        <v>53.7</v>
      </c>
    </row>
    <row r="5" spans="1:5" x14ac:dyDescent="0.4">
      <c r="A5" s="5" t="s">
        <v>11</v>
      </c>
      <c r="B5" s="5" t="s">
        <v>12</v>
      </c>
      <c r="C5" s="13">
        <v>22</v>
      </c>
      <c r="D5" s="13">
        <v>49.99</v>
      </c>
      <c r="E5" s="14">
        <f t="shared" si="0"/>
        <v>56</v>
      </c>
    </row>
    <row r="6" spans="1:5" x14ac:dyDescent="0.4">
      <c r="A6" s="10" t="s">
        <v>14</v>
      </c>
      <c r="B6" s="10" t="s">
        <v>15</v>
      </c>
      <c r="C6" s="11">
        <v>14.75</v>
      </c>
      <c r="D6" s="11">
        <v>34.99</v>
      </c>
      <c r="E6" s="12">
        <f t="shared" si="0"/>
        <v>57.8</v>
      </c>
    </row>
    <row r="7" spans="1:5" x14ac:dyDescent="0.4">
      <c r="A7" s="5" t="s">
        <v>17</v>
      </c>
      <c r="B7" s="5" t="s">
        <v>18</v>
      </c>
      <c r="C7" s="13">
        <v>31</v>
      </c>
      <c r="D7" s="13">
        <v>69.989999999999995</v>
      </c>
      <c r="E7" s="14">
        <f t="shared" si="0"/>
        <v>55.7</v>
      </c>
    </row>
    <row r="8" spans="1:5" x14ac:dyDescent="0.4">
      <c r="A8" s="10" t="s">
        <v>19</v>
      </c>
      <c r="B8" s="10" t="s">
        <v>20</v>
      </c>
      <c r="C8" s="11">
        <v>68</v>
      </c>
      <c r="D8" s="11">
        <v>149.99</v>
      </c>
      <c r="E8" s="12">
        <f t="shared" si="0"/>
        <v>54.7</v>
      </c>
    </row>
    <row r="9" spans="1:5" x14ac:dyDescent="0.4">
      <c r="A9" s="5" t="s">
        <v>21</v>
      </c>
      <c r="B9" s="5" t="s">
        <v>22</v>
      </c>
      <c r="C9" s="13">
        <v>29.5</v>
      </c>
      <c r="D9" s="13">
        <v>79.989999999999995</v>
      </c>
      <c r="E9" s="14">
        <f t="shared" si="0"/>
        <v>63.1</v>
      </c>
    </row>
    <row r="10" spans="1:5" x14ac:dyDescent="0.4">
      <c r="A10" s="10" t="s">
        <v>23</v>
      </c>
      <c r="B10" s="10" t="s">
        <v>24</v>
      </c>
      <c r="C10" s="11">
        <v>185</v>
      </c>
      <c r="D10" s="11">
        <v>449.99</v>
      </c>
      <c r="E10" s="12">
        <f t="shared" si="0"/>
        <v>58.9</v>
      </c>
    </row>
    <row r="11" spans="1:5" x14ac:dyDescent="0.4">
      <c r="A11" s="5" t="s">
        <v>25</v>
      </c>
      <c r="B11" s="5" t="s">
        <v>26</v>
      </c>
      <c r="C11" s="13">
        <v>12.25</v>
      </c>
      <c r="D11" s="13">
        <v>29.99</v>
      </c>
      <c r="E11" s="14">
        <f t="shared" si="0"/>
        <v>59.2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2E3C-91F4-40D8-A9BE-C5FA01F7D1FC}">
  <sheetPr>
    <tabColor rgb="FF1F497D"/>
  </sheetPr>
  <dimension ref="A1:E8"/>
  <sheetViews>
    <sheetView workbookViewId="0">
      <selection sqref="A1:E1"/>
    </sheetView>
  </sheetViews>
  <sheetFormatPr defaultRowHeight="14.6" x14ac:dyDescent="0.4"/>
  <cols>
    <col min="1" max="1" width="12.61328125" customWidth="1"/>
    <col min="2" max="5" width="11.61328125" customWidth="1"/>
  </cols>
  <sheetData>
    <row r="1" spans="1:5" ht="28" customHeight="1" x14ac:dyDescent="0.5">
      <c r="A1" s="15" t="s">
        <v>32</v>
      </c>
      <c r="B1" s="2"/>
      <c r="C1" s="2"/>
      <c r="D1" s="2"/>
      <c r="E1" s="2"/>
    </row>
    <row r="3" spans="1:5" x14ac:dyDescent="0.4">
      <c r="A3" s="16" t="s">
        <v>33</v>
      </c>
      <c r="B3" s="16" t="s">
        <v>34</v>
      </c>
      <c r="C3" s="16" t="s">
        <v>35</v>
      </c>
      <c r="D3" s="16" t="s">
        <v>36</v>
      </c>
      <c r="E3" s="16" t="s">
        <v>37</v>
      </c>
    </row>
    <row r="4" spans="1:5" x14ac:dyDescent="0.4">
      <c r="A4" s="4" t="s">
        <v>38</v>
      </c>
      <c r="B4" s="17">
        <v>82400</v>
      </c>
      <c r="C4" s="17">
        <v>91200</v>
      </c>
      <c r="D4" s="17">
        <v>87600</v>
      </c>
      <c r="E4" s="17">
        <f>SUM(B4:D4)</f>
        <v>261200</v>
      </c>
    </row>
    <row r="5" spans="1:5" x14ac:dyDescent="0.4">
      <c r="A5" s="5" t="s">
        <v>39</v>
      </c>
      <c r="B5" s="18">
        <v>74300</v>
      </c>
      <c r="C5" s="18">
        <v>68900</v>
      </c>
      <c r="D5" s="18">
        <v>79100</v>
      </c>
      <c r="E5" s="18">
        <f>SUM(B5:D5)</f>
        <v>222300</v>
      </c>
    </row>
    <row r="6" spans="1:5" x14ac:dyDescent="0.4">
      <c r="A6" s="4" t="s">
        <v>40</v>
      </c>
      <c r="B6" s="17">
        <v>61200</v>
      </c>
      <c r="C6" s="17">
        <v>72500</v>
      </c>
      <c r="D6" s="17">
        <v>68800</v>
      </c>
      <c r="E6" s="17">
        <f>SUM(B6:D6)</f>
        <v>202500</v>
      </c>
    </row>
    <row r="7" spans="1:5" x14ac:dyDescent="0.4">
      <c r="A7" s="5" t="s">
        <v>41</v>
      </c>
      <c r="B7" s="18">
        <v>88100</v>
      </c>
      <c r="C7" s="18">
        <v>94300</v>
      </c>
      <c r="D7" s="18">
        <v>91700</v>
      </c>
      <c r="E7" s="18">
        <f>SUM(B7:D7)</f>
        <v>274100</v>
      </c>
    </row>
    <row r="8" spans="1:5" x14ac:dyDescent="0.4">
      <c r="A8" s="19" t="s">
        <v>42</v>
      </c>
      <c r="B8" s="20">
        <f>SUM(B4:B7)</f>
        <v>306000</v>
      </c>
      <c r="C8" s="20">
        <f>SUM(C4:C7)</f>
        <v>326900</v>
      </c>
      <c r="D8" s="20">
        <f>SUM(D4:D7)</f>
        <v>327200</v>
      </c>
      <c r="E8" s="20">
        <f>SUM(E4:E7)</f>
        <v>960100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1BFD-020B-45EA-BD1C-7FB9DE3107D2}">
  <sheetPr>
    <tabColor rgb="FF378A00"/>
  </sheetPr>
  <dimension ref="A1:D8"/>
  <sheetViews>
    <sheetView workbookViewId="0">
      <selection sqref="A1:D1"/>
    </sheetView>
  </sheetViews>
  <sheetFormatPr defaultRowHeight="14.6" x14ac:dyDescent="0.4"/>
  <cols>
    <col min="1" max="2" width="16.61328125" customWidth="1"/>
    <col min="3" max="4" width="12.61328125" customWidth="1"/>
  </cols>
  <sheetData>
    <row r="1" spans="1:4" ht="24" customHeight="1" x14ac:dyDescent="0.45">
      <c r="A1" s="21" t="s">
        <v>43</v>
      </c>
      <c r="B1" s="2"/>
      <c r="C1" s="2"/>
      <c r="D1" s="2"/>
    </row>
    <row r="3" spans="1:4" x14ac:dyDescent="0.4">
      <c r="A3" s="22" t="s">
        <v>44</v>
      </c>
      <c r="B3" s="22" t="s">
        <v>45</v>
      </c>
      <c r="C3" s="22" t="s">
        <v>46</v>
      </c>
      <c r="D3" s="22" t="s">
        <v>47</v>
      </c>
    </row>
    <row r="4" spans="1:4" x14ac:dyDescent="0.4">
      <c r="A4" s="23" t="s">
        <v>48</v>
      </c>
      <c r="B4" s="23" t="s">
        <v>49</v>
      </c>
      <c r="C4" s="23">
        <v>142</v>
      </c>
      <c r="D4" s="24">
        <v>18460</v>
      </c>
    </row>
    <row r="5" spans="1:4" x14ac:dyDescent="0.4">
      <c r="A5" s="5" t="s">
        <v>48</v>
      </c>
      <c r="B5" s="5" t="s">
        <v>50</v>
      </c>
      <c r="C5" s="5">
        <v>87</v>
      </c>
      <c r="D5" s="25">
        <v>13050</v>
      </c>
    </row>
    <row r="6" spans="1:4" x14ac:dyDescent="0.4">
      <c r="A6" s="23" t="s">
        <v>51</v>
      </c>
      <c r="B6" s="23" t="s">
        <v>49</v>
      </c>
      <c r="C6" s="23">
        <v>210</v>
      </c>
      <c r="D6" s="24">
        <v>27300</v>
      </c>
    </row>
    <row r="7" spans="1:4" x14ac:dyDescent="0.4">
      <c r="A7" s="5" t="s">
        <v>51</v>
      </c>
      <c r="B7" s="5" t="s">
        <v>52</v>
      </c>
      <c r="C7" s="5">
        <v>65</v>
      </c>
      <c r="D7" s="25">
        <v>9750</v>
      </c>
    </row>
    <row r="8" spans="1:4" x14ac:dyDescent="0.4">
      <c r="A8" s="23" t="s">
        <v>53</v>
      </c>
      <c r="B8" s="23" t="s">
        <v>50</v>
      </c>
      <c r="C8" s="23">
        <v>198</v>
      </c>
      <c r="D8" s="24">
        <v>29700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56A0-DA3D-4001-A8C7-D1F14DFE0209}">
  <sheetPr>
    <tabColor rgb="FF1F497D"/>
  </sheetPr>
  <dimension ref="A1:D8"/>
  <sheetViews>
    <sheetView tabSelected="1" workbookViewId="0">
      <selection sqref="A1:D1"/>
    </sheetView>
  </sheetViews>
  <sheetFormatPr defaultRowHeight="14.6" x14ac:dyDescent="0.4"/>
  <cols>
    <col min="1" max="2" width="16.61328125" customWidth="1"/>
    <col min="3" max="4" width="12.61328125" customWidth="1"/>
  </cols>
  <sheetData>
    <row r="1" spans="1:4" ht="24" customHeight="1" x14ac:dyDescent="0.45">
      <c r="A1" s="26" t="s">
        <v>54</v>
      </c>
      <c r="B1" s="2"/>
      <c r="C1" s="2"/>
      <c r="D1" s="2"/>
    </row>
    <row r="3" spans="1:4" x14ac:dyDescent="0.4">
      <c r="A3" s="16" t="s">
        <v>44</v>
      </c>
      <c r="B3" s="16" t="s">
        <v>45</v>
      </c>
      <c r="C3" s="16" t="s">
        <v>46</v>
      </c>
      <c r="D3" s="16" t="s">
        <v>47</v>
      </c>
    </row>
    <row r="4" spans="1:4" x14ac:dyDescent="0.4">
      <c r="A4" s="4" t="s">
        <v>55</v>
      </c>
      <c r="B4" s="4" t="s">
        <v>49</v>
      </c>
      <c r="C4" s="4">
        <v>118</v>
      </c>
      <c r="D4" s="27">
        <v>15340</v>
      </c>
    </row>
    <row r="5" spans="1:4" x14ac:dyDescent="0.4">
      <c r="A5" s="5" t="s">
        <v>55</v>
      </c>
      <c r="B5" s="5" t="s">
        <v>52</v>
      </c>
      <c r="C5" s="5">
        <v>93</v>
      </c>
      <c r="D5" s="25">
        <v>13950</v>
      </c>
    </row>
    <row r="6" spans="1:4" x14ac:dyDescent="0.4">
      <c r="A6" s="4" t="s">
        <v>56</v>
      </c>
      <c r="B6" s="4" t="s">
        <v>50</v>
      </c>
      <c r="C6" s="4">
        <v>176</v>
      </c>
      <c r="D6" s="27">
        <v>26400</v>
      </c>
    </row>
    <row r="7" spans="1:4" x14ac:dyDescent="0.4">
      <c r="A7" s="5" t="s">
        <v>56</v>
      </c>
      <c r="B7" s="5" t="s">
        <v>49</v>
      </c>
      <c r="C7" s="5">
        <v>84</v>
      </c>
      <c r="D7" s="25">
        <v>10920</v>
      </c>
    </row>
    <row r="8" spans="1:4" x14ac:dyDescent="0.4">
      <c r="A8" s="4" t="s">
        <v>57</v>
      </c>
      <c r="B8" s="4" t="s">
        <v>52</v>
      </c>
      <c r="C8" s="4">
        <v>201</v>
      </c>
      <c r="D8" s="27">
        <v>30150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first_Inventory</vt:lpstr>
      <vt:lpstr>first_Pricing</vt:lpstr>
      <vt:lpstr>second_Overview</vt:lpstr>
      <vt:lpstr>second_North Region</vt:lpstr>
      <vt:lpstr>second_South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Vassilev</dc:creator>
  <cp:lastModifiedBy>Stefan Vassilev</cp:lastModifiedBy>
  <dcterms:created xsi:type="dcterms:W3CDTF">2026-04-09T17:36:21Z</dcterms:created>
  <dcterms:modified xsi:type="dcterms:W3CDTF">2026-04-09T17:36:22Z</dcterms:modified>
</cp:coreProperties>
</file>